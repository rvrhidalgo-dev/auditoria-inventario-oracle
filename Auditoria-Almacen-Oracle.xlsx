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rving Hidalgo\Desktop\Portafolio_google\Proyecto_2\"/>
    </mc:Choice>
  </mc:AlternateContent>
  <xr:revisionPtr revIDLastSave="0" documentId="13_ncr:1_{EAF90BDD-4963-4C09-BBFE-16A38D05E0D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porte" sheetId="1" r:id="rId1"/>
    <sheet name="Dashboard" sheetId="2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 s="1"/>
  <c r="J2" i="1" s="1"/>
  <c r="H3" i="1"/>
  <c r="I3" i="1" s="1"/>
  <c r="J3" i="1" s="1"/>
  <c r="H4" i="1"/>
  <c r="I4" i="1" s="1"/>
  <c r="J4" i="1" s="1"/>
  <c r="H5" i="1"/>
  <c r="I5" i="1" s="1"/>
  <c r="J5" i="1" s="1"/>
  <c r="H6" i="1"/>
  <c r="I6" i="1" s="1"/>
  <c r="J6" i="1" s="1"/>
  <c r="H7" i="1"/>
  <c r="I7" i="1" s="1"/>
  <c r="J7" i="1" s="1"/>
  <c r="H8" i="1"/>
  <c r="I8" i="1" s="1"/>
  <c r="J8" i="1" s="1"/>
  <c r="H9" i="1"/>
  <c r="I9" i="1" s="1"/>
  <c r="J9" i="1" s="1"/>
</calcChain>
</file>

<file path=xl/sharedStrings.xml><?xml version="1.0" encoding="utf-8"?>
<sst xmlns="http://schemas.openxmlformats.org/spreadsheetml/2006/main" count="30" uniqueCount="30">
  <si>
    <t>ID_FACTURA</t>
  </si>
  <si>
    <t>MATERIAL</t>
  </si>
  <si>
    <t>FECHA_RECEPCION</t>
  </si>
  <si>
    <t>CANTIDAD_ORACLE</t>
  </si>
  <si>
    <t>SURTIDO_OP</t>
  </si>
  <si>
    <t>FISICO_REAL</t>
  </si>
  <si>
    <t>AJUSTE_PT</t>
  </si>
  <si>
    <t>FAC-100</t>
  </si>
  <si>
    <t>FAC-101</t>
  </si>
  <si>
    <t>Gas Propelente</t>
  </si>
  <si>
    <t xml:space="preserve">fac-102 </t>
  </si>
  <si>
    <t>FAC-103</t>
  </si>
  <si>
    <t>Envase Hojalata</t>
  </si>
  <si>
    <t>FAC-104</t>
  </si>
  <si>
    <t>FAC-105</t>
  </si>
  <si>
    <t>Canica Agitadora</t>
  </si>
  <si>
    <t>FAC-106</t>
  </si>
  <si>
    <t>Tapa Seguridad</t>
  </si>
  <si>
    <t>FAC-107</t>
  </si>
  <si>
    <t>Etiqueta Termo</t>
  </si>
  <si>
    <t>Concentrado Blanco</t>
  </si>
  <si>
    <t>Solvente Xilol</t>
  </si>
  <si>
    <t>Valvula Actuador</t>
  </si>
  <si>
    <t>Suma de Fuga No Justificada</t>
  </si>
  <si>
    <t>(en blanco)</t>
  </si>
  <si>
    <t>Total general</t>
  </si>
  <si>
    <t>Etiquetas de fila</t>
  </si>
  <si>
    <t>STOCK TEÓRICO</t>
  </si>
  <si>
    <t>DIFERENCIA BRUTA</t>
  </si>
  <si>
    <t>FUGA NO JUSTIFICADA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</si>
</sst>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[Auditoria-Almacen-Oracle.xlsx]Dashboard!TablaDinámica1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Dashboard!$A$2:$A$8</c:f>
              <c:strCache>
                <c:ptCount val="6"/>
                <c:pt idx="0">
                  <c:v>-995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(en blanco)</c:v>
                </c:pt>
              </c:strCache>
            </c:strRef>
          </c:cat>
          <c:val>
            <c:numRef>
              <c:f>Dashboard!$B$2:$B$8</c:f>
              <c:numCache>
                <c:formatCode>General</c:formatCode>
                <c:ptCount val="6"/>
                <c:pt idx="0">
                  <c:v>-995</c:v>
                </c:pt>
                <c:pt idx="1">
                  <c:v>0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B-4442-9FC9-E813A8660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1046399"/>
        <c:axId val="1281039199"/>
      </c:barChart>
      <c:catAx>
        <c:axId val="128104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1039199"/>
        <c:crosses val="autoZero"/>
        <c:auto val="1"/>
        <c:lblAlgn val="ctr"/>
        <c:lblOffset val="100"/>
        <c:noMultiLvlLbl val="0"/>
      </c:catAx>
      <c:valAx>
        <c:axId val="128103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8104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0</xdr:rowOff>
    </xdr:from>
    <xdr:to>
      <xdr:col>11</xdr:col>
      <xdr:colOff>723900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E010FE-72F0-19A4-B5A3-3AD190569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rving Hidalgo" refreshedDate="46133.810911458335" createdVersion="8" refreshedVersion="8" minRefreshableVersion="3" recordCount="11" xr:uid="{7523E77F-66C2-4757-AD28-6E077588F517}">
  <cacheSource type="worksheet">
    <worksheetSource ref="J1:J1048576" sheet="Reporte"/>
  </cacheSource>
  <cacheFields count="1">
    <cacheField name="Fuga No Justificada" numFmtId="0">
      <sharedItems containsString="0" containsBlank="1" containsNumber="1" containsInteger="1" minValue="-995" maxValue="20" count="6">
        <n v="0"/>
        <n v="-995"/>
        <n v="5"/>
        <n v="20"/>
        <n v="1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</r>
  <r>
    <x v="1"/>
  </r>
  <r>
    <x v="2"/>
  </r>
  <r>
    <x v="2"/>
  </r>
  <r>
    <x v="0"/>
  </r>
  <r>
    <x v="3"/>
  </r>
  <r>
    <x v="0"/>
  </r>
  <r>
    <x v="4"/>
  </r>
  <r>
    <x v="5"/>
  </r>
  <r>
    <x v="5"/>
  </r>
  <r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882D3-A218-4A68-B8B1-F6317C48AC87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:B8" firstHeaderRow="1" firstDataRow="1" firstDataCol="1"/>
  <pivotFields count="1">
    <pivotField name="Materiales" axis="axisRow" dataField="1" showAll="0">
      <items count="7">
        <item x="1"/>
        <item x="0"/>
        <item x="2"/>
        <item x="4"/>
        <item x="3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Fuga No Justificada" fld="0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workbookViewId="0">
      <selection activeCell="J1" sqref="J1"/>
    </sheetView>
  </sheetViews>
  <sheetFormatPr baseColWidth="10" defaultColWidth="9.140625" defaultRowHeight="15" x14ac:dyDescent="0.25"/>
  <cols>
    <col min="1" max="1" width="12.140625" bestFit="1" customWidth="1"/>
    <col min="2" max="2" width="22.7109375" bestFit="1" customWidth="1"/>
    <col min="3" max="3" width="17.85546875" bestFit="1" customWidth="1"/>
    <col min="4" max="4" width="18.28515625" bestFit="1" customWidth="1"/>
    <col min="5" max="5" width="12.42578125" bestFit="1" customWidth="1"/>
    <col min="6" max="6" width="12" bestFit="1" customWidth="1"/>
    <col min="7" max="7" width="10.5703125" bestFit="1" customWidth="1"/>
    <col min="8" max="8" width="14.85546875" bestFit="1" customWidth="1"/>
    <col min="9" max="9" width="18" bestFit="1" customWidth="1"/>
    <col min="10" max="10" width="21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27</v>
      </c>
      <c r="I1" s="3" t="s">
        <v>28</v>
      </c>
      <c r="J1" s="4" t="s">
        <v>29</v>
      </c>
    </row>
    <row r="2" spans="1:10" x14ac:dyDescent="0.25">
      <c r="A2" t="s">
        <v>7</v>
      </c>
      <c r="B2" t="s">
        <v>20</v>
      </c>
      <c r="C2" s="2">
        <v>46113</v>
      </c>
      <c r="D2">
        <v>500</v>
      </c>
      <c r="E2">
        <v>100</v>
      </c>
      <c r="F2">
        <v>400</v>
      </c>
      <c r="G2">
        <v>0</v>
      </c>
      <c r="H2">
        <f>D2-E2</f>
        <v>400</v>
      </c>
      <c r="I2">
        <f>H2-F2</f>
        <v>0</v>
      </c>
      <c r="J2">
        <f>I2-G2</f>
        <v>0</v>
      </c>
    </row>
    <row r="3" spans="1:10" x14ac:dyDescent="0.25">
      <c r="A3" t="s">
        <v>8</v>
      </c>
      <c r="B3" t="s">
        <v>9</v>
      </c>
      <c r="C3" s="2">
        <v>46114</v>
      </c>
      <c r="E3">
        <v>200</v>
      </c>
      <c r="F3">
        <v>750</v>
      </c>
      <c r="G3">
        <v>45</v>
      </c>
      <c r="H3">
        <f>D3-E3</f>
        <v>-200</v>
      </c>
      <c r="I3">
        <f>H3-F3</f>
        <v>-950</v>
      </c>
      <c r="J3">
        <f>I3-G3</f>
        <v>-995</v>
      </c>
    </row>
    <row r="4" spans="1:10" x14ac:dyDescent="0.25">
      <c r="A4" t="s">
        <v>10</v>
      </c>
      <c r="B4" t="s">
        <v>21</v>
      </c>
      <c r="C4" s="2">
        <v>46115</v>
      </c>
      <c r="D4">
        <v>200</v>
      </c>
      <c r="E4">
        <v>50</v>
      </c>
      <c r="F4">
        <v>120</v>
      </c>
      <c r="G4">
        <v>25</v>
      </c>
      <c r="H4">
        <f>D4-E4</f>
        <v>150</v>
      </c>
      <c r="I4">
        <f>H4-F4</f>
        <v>30</v>
      </c>
      <c r="J4">
        <f>I4-G4</f>
        <v>5</v>
      </c>
    </row>
    <row r="5" spans="1:10" x14ac:dyDescent="0.25">
      <c r="A5" t="s">
        <v>11</v>
      </c>
      <c r="B5" t="s">
        <v>12</v>
      </c>
      <c r="C5" s="2">
        <v>46116</v>
      </c>
      <c r="D5">
        <v>5000</v>
      </c>
      <c r="E5">
        <v>1000</v>
      </c>
      <c r="F5">
        <v>3980</v>
      </c>
      <c r="G5">
        <v>15</v>
      </c>
      <c r="H5">
        <f>D5-E5</f>
        <v>4000</v>
      </c>
      <c r="I5">
        <f>H5-F5</f>
        <v>20</v>
      </c>
      <c r="J5">
        <f>I5-G5</f>
        <v>5</v>
      </c>
    </row>
    <row r="6" spans="1:10" x14ac:dyDescent="0.25">
      <c r="A6" t="s">
        <v>13</v>
      </c>
      <c r="B6" t="s">
        <v>22</v>
      </c>
      <c r="C6" s="2">
        <v>46117</v>
      </c>
      <c r="D6">
        <v>5000</v>
      </c>
      <c r="E6">
        <v>1000</v>
      </c>
      <c r="F6">
        <v>4000</v>
      </c>
      <c r="G6">
        <v>0</v>
      </c>
      <c r="H6">
        <f>D6-E6</f>
        <v>4000</v>
      </c>
      <c r="I6">
        <f>H6-F6</f>
        <v>0</v>
      </c>
      <c r="J6">
        <f>I6-G6</f>
        <v>0</v>
      </c>
    </row>
    <row r="7" spans="1:10" x14ac:dyDescent="0.25">
      <c r="A7" t="s">
        <v>14</v>
      </c>
      <c r="B7" t="s">
        <v>15</v>
      </c>
      <c r="C7" s="2">
        <v>46117</v>
      </c>
      <c r="D7">
        <v>10000</v>
      </c>
      <c r="E7">
        <v>2000</v>
      </c>
      <c r="F7">
        <v>7950</v>
      </c>
      <c r="G7">
        <v>30</v>
      </c>
      <c r="H7">
        <f>D7-E7</f>
        <v>8000</v>
      </c>
      <c r="I7">
        <f>H7-F7</f>
        <v>50</v>
      </c>
      <c r="J7">
        <f>I7-G7</f>
        <v>20</v>
      </c>
    </row>
    <row r="8" spans="1:10" x14ac:dyDescent="0.25">
      <c r="A8" t="s">
        <v>16</v>
      </c>
      <c r="B8" t="s">
        <v>17</v>
      </c>
      <c r="C8" s="2">
        <v>46118</v>
      </c>
      <c r="D8">
        <v>3000</v>
      </c>
      <c r="E8">
        <v>500</v>
      </c>
      <c r="F8">
        <v>2500</v>
      </c>
      <c r="G8">
        <v>0</v>
      </c>
      <c r="H8">
        <f>D8-E8</f>
        <v>2500</v>
      </c>
      <c r="I8">
        <f>H8-F8</f>
        <v>0</v>
      </c>
      <c r="J8">
        <f>I8-G8</f>
        <v>0</v>
      </c>
    </row>
    <row r="9" spans="1:10" x14ac:dyDescent="0.25">
      <c r="A9" t="s">
        <v>18</v>
      </c>
      <c r="B9" t="s">
        <v>19</v>
      </c>
      <c r="C9" s="2">
        <v>46119</v>
      </c>
      <c r="D9">
        <v>5000</v>
      </c>
      <c r="E9">
        <v>1200</v>
      </c>
      <c r="F9">
        <v>3750</v>
      </c>
      <c r="G9">
        <v>40</v>
      </c>
      <c r="H9">
        <f>D9-E9</f>
        <v>3800</v>
      </c>
      <c r="I9">
        <f>H9-F9</f>
        <v>50</v>
      </c>
      <c r="J9">
        <f>I9-G9</f>
        <v>10</v>
      </c>
    </row>
  </sheetData>
  <conditionalFormatting sqref="J2:J9">
    <cfRule type="cellIs" dxfId="3" priority="1" operator="lessThan">
      <formula>0</formula>
    </cfRule>
    <cfRule type="cellIs" dxfId="2" priority="2" operator="equal">
      <formula>0</formula>
    </cfRule>
    <cfRule type="cellIs" dxfId="1" priority="3" operator="greaterThan">
      <formula>0</formula>
    </cfRule>
  </conditionalFormatting>
  <conditionalFormatting sqref="A1:A9">
    <cfRule type="duplicateValues" dxfId="0" priority="12"/>
  </conditionalFormatting>
  <pageMargins left="0.75" right="0.75" top="1" bottom="1" header="0.5" footer="0.5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A6D5-925A-413D-9A03-661664099D1E}">
  <dimension ref="A1:B8"/>
  <sheetViews>
    <sheetView tabSelected="1" workbookViewId="0">
      <selection activeCell="Q21" sqref="Q21"/>
    </sheetView>
  </sheetViews>
  <sheetFormatPr baseColWidth="10" defaultRowHeight="15" x14ac:dyDescent="0.25"/>
  <cols>
    <col min="1" max="1" width="17.5703125" bestFit="1" customWidth="1"/>
    <col min="2" max="2" width="26.140625" bestFit="1" customWidth="1"/>
    <col min="3" max="3" width="2" bestFit="1" customWidth="1"/>
    <col min="4" max="6" width="3" bestFit="1" customWidth="1"/>
    <col min="7" max="7" width="11" bestFit="1" customWidth="1"/>
    <col min="8" max="8" width="12.5703125" bestFit="1" customWidth="1"/>
  </cols>
  <sheetData>
    <row r="1" spans="1:2" x14ac:dyDescent="0.25">
      <c r="A1" s="6" t="s">
        <v>26</v>
      </c>
      <c r="B1" t="s">
        <v>23</v>
      </c>
    </row>
    <row r="2" spans="1:2" x14ac:dyDescent="0.25">
      <c r="A2" s="7">
        <v>-995</v>
      </c>
      <c r="B2" s="5">
        <v>-995</v>
      </c>
    </row>
    <row r="3" spans="1:2" x14ac:dyDescent="0.25">
      <c r="A3" s="7">
        <v>0</v>
      </c>
      <c r="B3" s="5">
        <v>0</v>
      </c>
    </row>
    <row r="4" spans="1:2" x14ac:dyDescent="0.25">
      <c r="A4" s="7">
        <v>5</v>
      </c>
      <c r="B4" s="5">
        <v>10</v>
      </c>
    </row>
    <row r="5" spans="1:2" x14ac:dyDescent="0.25">
      <c r="A5" s="7">
        <v>10</v>
      </c>
      <c r="B5" s="5">
        <v>10</v>
      </c>
    </row>
    <row r="6" spans="1:2" x14ac:dyDescent="0.25">
      <c r="A6" s="7">
        <v>20</v>
      </c>
      <c r="B6" s="5">
        <v>20</v>
      </c>
    </row>
    <row r="7" spans="1:2" x14ac:dyDescent="0.25">
      <c r="A7" s="7" t="s">
        <v>24</v>
      </c>
      <c r="B7" s="5"/>
    </row>
    <row r="8" spans="1:2" x14ac:dyDescent="0.25">
      <c r="A8" s="7" t="s">
        <v>25</v>
      </c>
      <c r="B8" s="5">
        <v>-955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Irving Hidalgo</cp:lastModifiedBy>
  <dcterms:created xsi:type="dcterms:W3CDTF">2026-04-21T23:59:54Z</dcterms:created>
  <dcterms:modified xsi:type="dcterms:W3CDTF">2026-04-22T01:52:13Z</dcterms:modified>
</cp:coreProperties>
</file>